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F9CACA21-E4C1-44B9-AC6D-1D222A9D4844}" xr6:coauthVersionLast="47" xr6:coauthVersionMax="47" xr10:uidLastSave="{00000000-0000-0000-0000-000000000000}"/>
  <bookViews>
    <workbookView xWindow="-90" yWindow="0" windowWidth="12980" windowHeight="13770" firstSheet="18" activeTab="20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19A" sheetId="39" r:id="rId20"/>
    <sheet name="T19B" sheetId="40" r:id="rId21"/>
    <sheet name="T20" sheetId="28" r:id="rId22"/>
    <sheet name="T21a" sheetId="19" r:id="rId23"/>
    <sheet name="T22a" sheetId="29" r:id="rId24"/>
    <sheet name="T22b" sheetId="30" r:id="rId25"/>
    <sheet name="T22c" sheetId="32" r:id="rId26"/>
    <sheet name="T22d" sheetId="31" r:id="rId27"/>
    <sheet name="T21b" sheetId="20" r:id="rId28"/>
    <sheet name="T22cB" sheetId="21" r:id="rId29"/>
    <sheet name="T23" sheetId="22" r:id="rId30"/>
    <sheet name="T24B" sheetId="23" r:id="rId31"/>
    <sheet name="T25B" sheetId="24" r:id="rId32"/>
    <sheet name="T26" sheetId="25" r:id="rId33"/>
    <sheet name="T27" sheetId="27" r:id="rId34"/>
    <sheet name="T28" sheetId="33" r:id="rId35"/>
    <sheet name="T29B" sheetId="34" r:id="rId36"/>
    <sheet name="T30" sheetId="38" r:id="rId37"/>
    <sheet name="T40" sheetId="36" r:id="rId38"/>
    <sheet name="T46" sheetId="35" r:id="rId39"/>
    <sheet name="T56" sheetId="37" r:id="rId4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0" l="1"/>
  <c r="B9" i="39"/>
  <c r="B4" i="38"/>
  <c r="B7" i="37"/>
  <c r="B9" i="36"/>
  <c r="B10" i="35"/>
  <c r="B7" i="34"/>
  <c r="B10" i="33"/>
  <c r="B8" i="32"/>
  <c r="B10" i="31"/>
  <c r="B8" i="30"/>
  <c r="B8" i="29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<sst xmlns="http://schemas.openxmlformats.org/spreadsheetml/2006/main" count="258" uniqueCount="12">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</sst>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3674-F8CA-4892-9418-1EB2C684B669}">
  <dimension ref="A1:B9"/>
  <sheetViews>
    <sheetView workbookViewId="0">
      <selection activeCell="B9" sqref="A1:B9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2.07E-2</v>
      </c>
    </row>
    <row r="3" spans="1:2" x14ac:dyDescent="0.35">
      <c r="A3" t="s">
        <v>3</v>
      </c>
      <c r="B3">
        <v>3.0000000000000001E-3</v>
      </c>
    </row>
    <row r="4" spans="1:2" x14ac:dyDescent="0.35">
      <c r="A4" t="s">
        <v>4</v>
      </c>
      <c r="B4">
        <v>1.54</v>
      </c>
    </row>
    <row r="5" spans="1:2" x14ac:dyDescent="0.35">
      <c r="A5" t="s">
        <v>5</v>
      </c>
      <c r="B5">
        <v>307</v>
      </c>
    </row>
    <row r="6" spans="1:2" x14ac:dyDescent="0.35">
      <c r="A6" t="s">
        <v>6</v>
      </c>
      <c r="B6">
        <v>2.9</v>
      </c>
    </row>
    <row r="7" spans="1:2" x14ac:dyDescent="0.35">
      <c r="A7" t="s">
        <v>7</v>
      </c>
      <c r="B7">
        <v>10.9</v>
      </c>
    </row>
    <row r="8" spans="1:2" x14ac:dyDescent="0.35">
      <c r="A8" t="s">
        <v>8</v>
      </c>
      <c r="B8">
        <v>365</v>
      </c>
    </row>
    <row r="9" spans="1:2" x14ac:dyDescent="0.35">
      <c r="A9" t="s">
        <v>2</v>
      </c>
      <c r="B9">
        <f>-B1*(((B5/B8)*(B2+B3)*B4*B6)/B7)</f>
        <v>-4.0837211763227344E-3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75B56-B57D-40E3-B6D5-EF484BAA8BB4}">
  <dimension ref="A1:B7"/>
  <sheetViews>
    <sheetView tabSelected="1"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1.1399999999999999</v>
      </c>
    </row>
    <row r="3" spans="1:2" x14ac:dyDescent="0.35">
      <c r="A3" t="s">
        <v>3</v>
      </c>
      <c r="B3">
        <v>2.8</v>
      </c>
    </row>
    <row r="4" spans="1:2" x14ac:dyDescent="0.35">
      <c r="A4" t="s">
        <v>4</v>
      </c>
      <c r="B4">
        <v>11</v>
      </c>
    </row>
    <row r="5" spans="1:2" x14ac:dyDescent="0.35">
      <c r="A5" t="s">
        <v>5</v>
      </c>
      <c r="B5">
        <v>4.1000000000000002E-2</v>
      </c>
    </row>
    <row r="6" spans="1:2" x14ac:dyDescent="0.35">
      <c r="A6" t="s">
        <v>6</v>
      </c>
      <c r="B6">
        <v>0.86599999999999999</v>
      </c>
    </row>
    <row r="7" spans="1:2" x14ac:dyDescent="0.35">
      <c r="A7" t="s">
        <v>2</v>
      </c>
      <c r="B7">
        <f>-B1*((((B3*(B5-(B2*B5)))/(B4*B6))))</f>
        <v>1.265378962838546E-3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workbookViewId="0">
      <selection activeCell="B8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0BC64-71B3-4F79-95ED-EE6427AF4050}">
  <dimension ref="A1:B8"/>
  <sheetViews>
    <sheetView workbookViewId="0">
      <selection activeCell="H10" activeCellId="1" sqref="B8 H10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-4.9991426611796985E-4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5401-36F7-4AFE-839C-026FA056AD0B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-5.6038008687700046E-4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8AEE-0803-4B02-9E46-BDF34BF75B33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0.19600000000000001</v>
      </c>
    </row>
    <row r="7" spans="1:2" x14ac:dyDescent="0.35">
      <c r="A7" t="s">
        <v>7</v>
      </c>
      <c r="B7">
        <v>1.4</v>
      </c>
    </row>
    <row r="8" spans="1:2" x14ac:dyDescent="0.35">
      <c r="A8" t="s">
        <v>8</v>
      </c>
      <c r="B8">
        <v>1.7</v>
      </c>
    </row>
    <row r="9" spans="1:2" x14ac:dyDescent="0.35">
      <c r="A9" t="s">
        <v>9</v>
      </c>
      <c r="B9">
        <v>9.6999999999999993</v>
      </c>
    </row>
    <row r="10" spans="1:2" x14ac:dyDescent="0.35">
      <c r="A10" t="s">
        <v>2</v>
      </c>
      <c r="B10" s="4">
        <f>(((-B1*B2*B3*((B4*B5)-(B6*B7)))/(B8*B9)))</f>
        <v>-4.2379948453608247E-4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9F6D-C13B-4D2F-B889-50C72227FDF1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0.15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0.25</v>
      </c>
    </row>
    <row r="7" spans="1:2" x14ac:dyDescent="0.35">
      <c r="A7" t="s">
        <v>7</v>
      </c>
      <c r="B7">
        <v>-0.2</v>
      </c>
    </row>
    <row r="8" spans="1:2" x14ac:dyDescent="0.35">
      <c r="A8" t="s">
        <v>8</v>
      </c>
      <c r="B8">
        <v>0.5</v>
      </c>
    </row>
    <row r="9" spans="1:2" x14ac:dyDescent="0.35">
      <c r="A9" t="s">
        <v>9</v>
      </c>
      <c r="B9">
        <v>-0.4</v>
      </c>
    </row>
    <row r="10" spans="1:2" x14ac:dyDescent="0.35">
      <c r="A10" t="s">
        <v>2</v>
      </c>
      <c r="B10">
        <f>-B2*(B3*B5*((B1*B8)+(B7*B9)+B6))/B4</f>
        <v>-0.11531099999999998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4371F-7752-4380-AAD2-3CD65C64C4E4}">
  <dimension ref="A1:B7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-0.3</v>
      </c>
    </row>
    <row r="4" spans="1:2" x14ac:dyDescent="0.35">
      <c r="A4" t="s">
        <v>4</v>
      </c>
      <c r="B4">
        <v>0.15</v>
      </c>
    </row>
    <row r="5" spans="1:2" x14ac:dyDescent="0.35">
      <c r="A5" t="s">
        <v>6</v>
      </c>
      <c r="B5">
        <v>0.8</v>
      </c>
    </row>
    <row r="6" spans="1:2" x14ac:dyDescent="0.35">
      <c r="A6" t="s">
        <v>5</v>
      </c>
      <c r="B6">
        <v>0.57799999999999996</v>
      </c>
    </row>
    <row r="7" spans="1:2" x14ac:dyDescent="0.35">
      <c r="A7" t="s">
        <v>2</v>
      </c>
      <c r="B7">
        <f>(B1*B2*B3*B4*B6)/B5</f>
        <v>-1.0403999999999998E-2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B3FF-71A9-44B4-A1C6-45B681ED2EB7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9</v>
      </c>
      <c r="B2">
        <v>0</v>
      </c>
    </row>
    <row r="3" spans="1:2" x14ac:dyDescent="0.35">
      <c r="A3" t="s">
        <v>10</v>
      </c>
      <c r="B3">
        <v>400</v>
      </c>
    </row>
    <row r="4" spans="1:2" x14ac:dyDescent="0.35">
      <c r="A4" t="s">
        <v>2</v>
      </c>
      <c r="B4">
        <f>B1*((B2-B3)/B3)</f>
        <v>-0.5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9924-ECD5-42C9-AEB6-442F006B5576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0.8</v>
      </c>
    </row>
    <row r="2" spans="1:2" x14ac:dyDescent="0.35">
      <c r="A2" t="s">
        <v>1</v>
      </c>
      <c r="B2">
        <v>0.9</v>
      </c>
    </row>
    <row r="3" spans="1:2" x14ac:dyDescent="0.35">
      <c r="A3" t="s">
        <v>3</v>
      </c>
      <c r="B3">
        <v>0.79</v>
      </c>
    </row>
    <row r="4" spans="1:2" x14ac:dyDescent="0.35">
      <c r="A4" t="s">
        <v>4</v>
      </c>
      <c r="B4">
        <v>1.58</v>
      </c>
    </row>
    <row r="5" spans="1:2" x14ac:dyDescent="0.35">
      <c r="A5" t="s">
        <v>5</v>
      </c>
      <c r="B5">
        <v>14.9</v>
      </c>
    </row>
    <row r="6" spans="1:2" x14ac:dyDescent="0.35">
      <c r="A6" t="s">
        <v>6</v>
      </c>
      <c r="B6">
        <v>3.42</v>
      </c>
    </row>
    <row r="7" spans="1:2" x14ac:dyDescent="0.35">
      <c r="A7" t="s">
        <v>7</v>
      </c>
      <c r="B7">
        <v>350</v>
      </c>
    </row>
    <row r="8" spans="1:2" x14ac:dyDescent="0.35">
      <c r="A8" t="s">
        <v>8</v>
      </c>
      <c r="B8">
        <v>1200</v>
      </c>
    </row>
    <row r="9" spans="1:2" x14ac:dyDescent="0.35">
      <c r="A9" t="s">
        <v>2</v>
      </c>
      <c r="B9">
        <f>(B1*B2*B3*((B7/B4)-((B6*B8)/B5)))/(B7/B4)</f>
        <v>-0.13844472023010548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BA039-FAE9-4F58-A255-BAD81FF0BAAA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200</v>
      </c>
    </row>
    <row r="3" spans="1:2" x14ac:dyDescent="0.35">
      <c r="A3" t="s">
        <v>3</v>
      </c>
      <c r="B3">
        <v>12000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0.83299999999999996</v>
      </c>
    </row>
    <row r="6" spans="1:2" x14ac:dyDescent="0.35">
      <c r="A6" t="s">
        <v>6</v>
      </c>
      <c r="B6">
        <v>1.45</v>
      </c>
    </row>
    <row r="7" spans="1:2" x14ac:dyDescent="0.35">
      <c r="A7" t="s">
        <v>7</v>
      </c>
      <c r="B7">
        <v>0.249</v>
      </c>
    </row>
    <row r="8" spans="1:2" x14ac:dyDescent="0.35">
      <c r="A8" t="s">
        <v>8</v>
      </c>
      <c r="B8">
        <v>0.20300000000000001</v>
      </c>
    </row>
    <row r="9" spans="1:2" x14ac:dyDescent="0.35">
      <c r="A9" t="s">
        <v>9</v>
      </c>
      <c r="B9">
        <v>-0.54</v>
      </c>
    </row>
    <row r="10" spans="1:2" x14ac:dyDescent="0.35">
      <c r="A10" t="s">
        <v>2</v>
      </c>
      <c r="B10">
        <f>B1*(B2/B3)*B4*(B5/B6)*(B7-B8)*B9</f>
        <v>-7.1350758620689623E-4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02985-441C-4BBF-B305-3743B0992738}">
  <dimension ref="A1:B7"/>
  <sheetViews>
    <sheetView zoomScale="113"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0.45</v>
      </c>
    </row>
    <row r="2" spans="1:2" x14ac:dyDescent="0.35">
      <c r="A2" t="s">
        <v>1</v>
      </c>
      <c r="B2">
        <v>0.62</v>
      </c>
    </row>
    <row r="3" spans="1:2" x14ac:dyDescent="0.35">
      <c r="A3" t="s">
        <v>3</v>
      </c>
      <c r="B3">
        <v>0.51</v>
      </c>
    </row>
    <row r="4" spans="1:2" x14ac:dyDescent="0.35">
      <c r="A4" t="s">
        <v>4</v>
      </c>
      <c r="B4">
        <v>0.66</v>
      </c>
    </row>
    <row r="5" spans="1:2" x14ac:dyDescent="0.35">
      <c r="A5" t="s">
        <v>5</v>
      </c>
      <c r="B5">
        <v>2</v>
      </c>
    </row>
    <row r="6" spans="1:2" x14ac:dyDescent="0.35">
      <c r="A6" t="s">
        <v>6</v>
      </c>
      <c r="B6">
        <v>8.66</v>
      </c>
    </row>
    <row r="7" spans="1:2" x14ac:dyDescent="0.35">
      <c r="A7" t="s">
        <v>2</v>
      </c>
      <c r="B7">
        <f>B2*B5*((B1-B3)/((B6*B4*(1-B2))+(B2*B3*B5)))</f>
        <v>-2.6530420122039929E-2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T19A</vt:lpstr>
      <vt:lpstr>T19B</vt:lpstr>
      <vt:lpstr>T20</vt:lpstr>
      <vt:lpstr>T21a</vt:lpstr>
      <vt:lpstr>T22a</vt:lpstr>
      <vt:lpstr>T22b</vt:lpstr>
      <vt:lpstr>T22c</vt:lpstr>
      <vt:lpstr>T22d</vt:lpstr>
      <vt:lpstr>T21b</vt:lpstr>
      <vt:lpstr>T22cB</vt:lpstr>
      <vt:lpstr>T23</vt:lpstr>
      <vt:lpstr>T24B</vt:lpstr>
      <vt:lpstr>T25B</vt:lpstr>
      <vt:lpstr>T26</vt:lpstr>
      <vt:lpstr>T27</vt:lpstr>
      <vt:lpstr>T28</vt:lpstr>
      <vt:lpstr>T29B</vt:lpstr>
      <vt:lpstr>T30</vt:lpstr>
      <vt:lpstr>T40</vt:lpstr>
      <vt:lpstr>T46</vt:lpstr>
      <vt:lpstr>T56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2026-05-19T05:18:08Z</dcterms:modified>
</cp:coreProperties>
</file>