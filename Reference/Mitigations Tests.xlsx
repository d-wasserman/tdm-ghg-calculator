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er\GitHub\tdm-ghg-calculator\Reference\"/>
    </mc:Choice>
  </mc:AlternateContent>
  <xr:revisionPtr revIDLastSave="0" documentId="13_ncr:1_{0425FA1C-C936-40A6-8BB0-D9A058C6E0D7}" xr6:coauthVersionLast="47" xr6:coauthVersionMax="47" xr10:uidLastSave="{00000000-0000-0000-0000-000000000000}"/>
  <bookViews>
    <workbookView xWindow="-105" yWindow="0" windowWidth="19410" windowHeight="20985" firstSheet="9" activeTab="18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1" sheetId="11" r:id="rId11"/>
    <sheet name="T12" sheetId="12" r:id="rId12"/>
    <sheet name="T13" sheetId="13" r:id="rId13"/>
    <sheet name="T14" sheetId="14" r:id="rId14"/>
    <sheet name="T15" sheetId="15" r:id="rId15"/>
    <sheet name="T16" sheetId="16" r:id="rId16"/>
    <sheet name="T17" sheetId="17" r:id="rId17"/>
    <sheet name="T18" sheetId="18" r:id="rId18"/>
    <sheet name="T21a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9" l="1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<sst xmlns="http://schemas.openxmlformats.org/spreadsheetml/2006/main" count="94" uniqueCount="12">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</sst>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5" x14ac:dyDescent="0.25"/>
  <sheetData>
    <row r="1" spans="1:2" x14ac:dyDescent="0.25">
      <c r="A1" t="s">
        <v>0</v>
      </c>
      <c r="B1">
        <v>16</v>
      </c>
    </row>
    <row r="2" spans="1:2" x14ac:dyDescent="0.25">
      <c r="A2" t="s">
        <v>1</v>
      </c>
      <c r="B2">
        <v>9.1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500</v>
      </c>
    </row>
    <row r="2" spans="1:2" x14ac:dyDescent="0.25">
      <c r="A2" t="s">
        <v>1</v>
      </c>
      <c r="B2">
        <v>145</v>
      </c>
    </row>
    <row r="3" spans="1:2" x14ac:dyDescent="0.25">
      <c r="A3" t="s">
        <v>3</v>
      </c>
      <c r="B3">
        <v>-7.0000000000000007E-2</v>
      </c>
    </row>
    <row r="4" spans="1:2" x14ac:dyDescent="0.2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0.04</v>
      </c>
    </row>
    <row r="2" spans="1:2" x14ac:dyDescent="0.25">
      <c r="A2" t="s">
        <v>1</v>
      </c>
      <c r="B2">
        <v>4.9000000000000004</v>
      </c>
    </row>
    <row r="3" spans="1:2" x14ac:dyDescent="0.25">
      <c r="A3" t="s">
        <v>3</v>
      </c>
      <c r="B3">
        <v>0.9</v>
      </c>
    </row>
    <row r="4" spans="1:2" x14ac:dyDescent="0.2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5" x14ac:dyDescent="0.25"/>
  <sheetData>
    <row r="1" spans="1:2" x14ac:dyDescent="0.25">
      <c r="A1" t="s">
        <v>0</v>
      </c>
      <c r="B1">
        <v>0.2</v>
      </c>
    </row>
    <row r="2" spans="1:2" x14ac:dyDescent="0.25">
      <c r="A2" t="s">
        <v>1</v>
      </c>
      <c r="B2">
        <v>-0.28599999999999998</v>
      </c>
    </row>
    <row r="3" spans="1:2" x14ac:dyDescent="0.2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4</v>
      </c>
    </row>
    <row r="2" spans="1:2" x14ac:dyDescent="0.25">
      <c r="A2" t="s">
        <v>1</v>
      </c>
      <c r="B2">
        <v>10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5" x14ac:dyDescent="0.25"/>
  <sheetData>
    <row r="1" spans="1:2" x14ac:dyDescent="0.25">
      <c r="A1" t="s">
        <v>0</v>
      </c>
      <c r="B1">
        <v>0.88</v>
      </c>
    </row>
    <row r="2" spans="1:2" x14ac:dyDescent="0.25">
      <c r="A2" t="s">
        <v>1</v>
      </c>
      <c r="B2">
        <v>-0.04</v>
      </c>
    </row>
    <row r="3" spans="1:2" x14ac:dyDescent="0.2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0.85</v>
      </c>
    </row>
    <row r="2" spans="1:2" x14ac:dyDescent="0.25">
      <c r="A2" t="s">
        <v>1</v>
      </c>
      <c r="B2">
        <v>-0.26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</v>
      </c>
    </row>
    <row r="2" spans="1:2" x14ac:dyDescent="0.25">
      <c r="A2" t="s">
        <v>1</v>
      </c>
      <c r="B2">
        <v>-0.04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>
        <f>0.08</f>
        <v>0.08</v>
      </c>
    </row>
    <row r="2" spans="1:2" x14ac:dyDescent="0.25">
      <c r="A2" t="s">
        <v>1</v>
      </c>
      <c r="B2">
        <v>0.6</v>
      </c>
    </row>
    <row r="3" spans="1:2" x14ac:dyDescent="0.2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5" x14ac:dyDescent="0.25"/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0.95</v>
      </c>
    </row>
    <row r="4" spans="1:2" x14ac:dyDescent="0.25">
      <c r="A4" t="s">
        <v>4</v>
      </c>
      <c r="B4">
        <v>0.8</v>
      </c>
    </row>
    <row r="5" spans="1:2" x14ac:dyDescent="0.25">
      <c r="A5" t="s">
        <v>5</v>
      </c>
      <c r="B5" s="1">
        <v>0.2</v>
      </c>
    </row>
    <row r="6" spans="1:2" x14ac:dyDescent="0.25">
      <c r="A6" t="s">
        <v>6</v>
      </c>
      <c r="B6">
        <v>-0.43</v>
      </c>
    </row>
    <row r="7" spans="1:2" x14ac:dyDescent="0.25">
      <c r="A7" t="s">
        <v>7</v>
      </c>
      <c r="B7">
        <v>0.5</v>
      </c>
    </row>
    <row r="8" spans="1:2" x14ac:dyDescent="0.25">
      <c r="A8" t="s">
        <v>8</v>
      </c>
      <c r="B8">
        <v>1</v>
      </c>
    </row>
    <row r="9" spans="1:2" x14ac:dyDescent="0.2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5" x14ac:dyDescent="0.25"/>
  <sheetData>
    <row r="1" spans="1:2" x14ac:dyDescent="0.25">
      <c r="A1" t="s">
        <v>0</v>
      </c>
      <c r="B1">
        <v>2.7E-2</v>
      </c>
    </row>
    <row r="2" spans="1:2" x14ac:dyDescent="0.25">
      <c r="A2" t="s">
        <v>1</v>
      </c>
      <c r="B2">
        <v>20</v>
      </c>
    </row>
    <row r="3" spans="1:2" x14ac:dyDescent="0.25">
      <c r="A3" t="s">
        <v>3</v>
      </c>
      <c r="B3">
        <v>42</v>
      </c>
    </row>
    <row r="4" spans="1:2" x14ac:dyDescent="0.25">
      <c r="A4" t="s">
        <v>4</v>
      </c>
      <c r="B4">
        <v>6.25</v>
      </c>
    </row>
    <row r="5" spans="1:2" x14ac:dyDescent="0.25">
      <c r="A5" t="s">
        <v>5</v>
      </c>
      <c r="B5">
        <v>307.5</v>
      </c>
    </row>
    <row r="6" spans="1:2" x14ac:dyDescent="0.25">
      <c r="A6" t="s">
        <v>6</v>
      </c>
      <c r="B6">
        <v>763.4</v>
      </c>
    </row>
    <row r="7" spans="1:2" x14ac:dyDescent="0.2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</v>
      </c>
    </row>
    <row r="3" spans="1:2" x14ac:dyDescent="0.25">
      <c r="A3" t="s">
        <v>3</v>
      </c>
      <c r="B3">
        <v>0.8</v>
      </c>
    </row>
    <row r="4" spans="1:2" x14ac:dyDescent="0.25">
      <c r="A4" t="s">
        <v>4</v>
      </c>
      <c r="B4">
        <v>-0.4</v>
      </c>
    </row>
    <row r="5" spans="1:2" x14ac:dyDescent="0.25">
      <c r="A5" t="s">
        <v>5</v>
      </c>
      <c r="B5">
        <v>1</v>
      </c>
    </row>
    <row r="6" spans="1:2" x14ac:dyDescent="0.2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0.75</v>
      </c>
    </row>
    <row r="2" spans="1:2" x14ac:dyDescent="0.25">
      <c r="A2" t="s">
        <v>1</v>
      </c>
      <c r="B2">
        <v>0.12</v>
      </c>
    </row>
    <row r="3" spans="1:2" x14ac:dyDescent="0.2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  <c r="B4">
        <v>0.46</v>
      </c>
    </row>
    <row r="5" spans="1:2" x14ac:dyDescent="0.25">
      <c r="A5" t="s">
        <v>5</v>
      </c>
      <c r="B5">
        <v>0.8</v>
      </c>
    </row>
    <row r="6" spans="1:2" x14ac:dyDescent="0.25">
      <c r="A6" t="s">
        <v>6</v>
      </c>
      <c r="B6">
        <v>205.1</v>
      </c>
    </row>
    <row r="7" spans="1:2" x14ac:dyDescent="0.25">
      <c r="A7" t="s">
        <v>7</v>
      </c>
      <c r="B7">
        <v>0.32700000000000001</v>
      </c>
    </row>
    <row r="8" spans="1:2" x14ac:dyDescent="0.25">
      <c r="A8" t="s">
        <v>8</v>
      </c>
      <c r="B8">
        <v>54</v>
      </c>
    </row>
    <row r="9" spans="1:2" x14ac:dyDescent="0.25">
      <c r="A9" t="s">
        <v>9</v>
      </c>
      <c r="B9">
        <v>307.5</v>
      </c>
    </row>
    <row r="10" spans="1:2" x14ac:dyDescent="0.25">
      <c r="A10" t="s">
        <v>10</v>
      </c>
      <c r="B10">
        <v>454</v>
      </c>
    </row>
    <row r="11" spans="1:2" x14ac:dyDescent="0.25">
      <c r="A11" t="s">
        <v>11</v>
      </c>
      <c r="B11">
        <v>1E-3</v>
      </c>
    </row>
    <row r="13" spans="1:2" x14ac:dyDescent="0.2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20</v>
      </c>
    </row>
    <row r="2" spans="1:2" x14ac:dyDescent="0.25">
      <c r="A2" t="s">
        <v>1</v>
      </c>
      <c r="B2">
        <v>5</v>
      </c>
    </row>
    <row r="3" spans="1:2" x14ac:dyDescent="0.25">
      <c r="A3" t="s">
        <v>3</v>
      </c>
      <c r="B3">
        <v>0.7</v>
      </c>
    </row>
    <row r="4" spans="1:2" x14ac:dyDescent="0.25">
      <c r="A4" t="s">
        <v>4</v>
      </c>
      <c r="B4">
        <v>0.37</v>
      </c>
    </row>
    <row r="5" spans="1:2" x14ac:dyDescent="0.25">
      <c r="A5" t="s">
        <v>5</v>
      </c>
      <c r="B5">
        <v>0.37</v>
      </c>
    </row>
    <row r="6" spans="1:2" x14ac:dyDescent="0.2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5" x14ac:dyDescent="0.25"/>
  <sheetData>
    <row r="1" spans="1:2" x14ac:dyDescent="0.25">
      <c r="A1" t="s">
        <v>0</v>
      </c>
      <c r="B1">
        <v>1000</v>
      </c>
    </row>
    <row r="2" spans="1:2" x14ac:dyDescent="0.25">
      <c r="A2" t="s">
        <v>1</v>
      </c>
      <c r="B2">
        <v>9282</v>
      </c>
    </row>
    <row r="3" spans="1:2" x14ac:dyDescent="0.25">
      <c r="A3" t="s">
        <v>3</v>
      </c>
      <c r="B3">
        <v>-0.4</v>
      </c>
    </row>
    <row r="4" spans="1:2" x14ac:dyDescent="0.25">
      <c r="A4" t="s">
        <v>4</v>
      </c>
      <c r="B4">
        <v>1.01</v>
      </c>
    </row>
    <row r="6" spans="1:2" x14ac:dyDescent="0.2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60</v>
      </c>
    </row>
    <row r="2" spans="1:2" x14ac:dyDescent="0.25">
      <c r="A2" t="s">
        <v>1</v>
      </c>
      <c r="B2">
        <v>36</v>
      </c>
    </row>
    <row r="3" spans="1:2" x14ac:dyDescent="0.25">
      <c r="A3" t="s">
        <v>3</v>
      </c>
      <c r="B3">
        <v>-0.14000000000000001</v>
      </c>
    </row>
    <row r="4" spans="1:2" x14ac:dyDescent="0.2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5" x14ac:dyDescent="0.25"/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150</v>
      </c>
    </row>
    <row r="3" spans="1:2" x14ac:dyDescent="0.25">
      <c r="A3" t="s">
        <v>3</v>
      </c>
      <c r="B3">
        <v>-0.05</v>
      </c>
    </row>
    <row r="4" spans="1:2" x14ac:dyDescent="0.2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tabSelected="1"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>
        <v>20</v>
      </c>
    </row>
    <row r="2" spans="1:2" x14ac:dyDescent="0.25">
      <c r="A2" t="s">
        <v>1</v>
      </c>
      <c r="B2">
        <v>8000</v>
      </c>
    </row>
    <row r="3" spans="1:2" x14ac:dyDescent="0.25">
      <c r="A3" t="s">
        <v>3</v>
      </c>
      <c r="B3">
        <v>68.2</v>
      </c>
    </row>
    <row r="4" spans="1:2" x14ac:dyDescent="0.25">
      <c r="A4" t="s">
        <v>4</v>
      </c>
      <c r="B4">
        <v>24.4</v>
      </c>
    </row>
    <row r="5" spans="1:2" x14ac:dyDescent="0.25">
      <c r="A5" t="s">
        <v>2</v>
      </c>
      <c r="B5">
        <f>(B1*(B4-B3))/B2</f>
        <v>-0.10950000000000001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T11</vt:lpstr>
      <vt:lpstr>T12</vt:lpstr>
      <vt:lpstr>T13</vt:lpstr>
      <vt:lpstr>T14</vt:lpstr>
      <vt:lpstr>T15</vt:lpstr>
      <vt:lpstr>T16</vt:lpstr>
      <vt:lpstr>T17</vt:lpstr>
      <vt:lpstr>T18</vt:lpstr>
      <vt:lpstr>T21a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2026-04-24T17:13:56Z</dcterms:modified>
</cp:coreProperties>
</file>