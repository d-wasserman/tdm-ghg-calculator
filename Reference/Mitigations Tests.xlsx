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HP\Documents\GitHub\tdm-ghg-calculator\Reference\"/>
    </mc:Choice>
  </mc:AlternateContent>
  <xr:revisionPtr revIDLastSave="0" documentId="13_ncr:1_{873109EB-0E94-434B-A3D4-9116AD740ADF}" xr6:coauthVersionLast="47" xr6:coauthVersionMax="47" xr10:uidLastSave="{00000000-0000-0000-0000-000000000000}"/>
  <bookViews>
    <workbookView xWindow="-90" yWindow="0" windowWidth="12980" windowHeight="13770" firstSheet="18" activeTab="19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5" sheetId="5" r:id="rId5"/>
    <sheet name="T5" sheetId="6" r:id="rId6"/>
    <sheet name="T6" sheetId="7" r:id="rId7"/>
    <sheet name="T7" sheetId="8" r:id="rId8"/>
    <sheet name="T8" sheetId="9" r:id="rId9"/>
    <sheet name="T9" sheetId="10" r:id="rId10"/>
    <sheet name="T10" sheetId="26" r:id="rId11"/>
    <sheet name="T11" sheetId="11" r:id="rId12"/>
    <sheet name="T12" sheetId="12" r:id="rId13"/>
    <sheet name="T13" sheetId="13" r:id="rId14"/>
    <sheet name="T14" sheetId="14" r:id="rId15"/>
    <sheet name="T15" sheetId="15" r:id="rId16"/>
    <sheet name="T16" sheetId="16" r:id="rId17"/>
    <sheet name="T17" sheetId="17" r:id="rId18"/>
    <sheet name="T18" sheetId="18" r:id="rId19"/>
    <sheet name="T20" sheetId="28" r:id="rId20"/>
    <sheet name="T21a" sheetId="19" r:id="rId21"/>
    <sheet name="T21b" sheetId="20" r:id="rId22"/>
    <sheet name="T22cB" sheetId="21" r:id="rId23"/>
    <sheet name="T23" sheetId="22" r:id="rId24"/>
    <sheet name="T24B" sheetId="23" r:id="rId25"/>
    <sheet name="T25B" sheetId="24" r:id="rId26"/>
    <sheet name="T26" sheetId="25" r:id="rId27"/>
    <sheet name="T27" sheetId="2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8" l="1"/>
  <c r="B7" i="27"/>
  <c r="B6" i="26"/>
  <c r="B7" i="25"/>
  <c r="B7" i="24"/>
  <c r="B8" i="23"/>
  <c r="B6" i="22"/>
  <c r="B8" i="21"/>
  <c r="B10" i="20"/>
  <c r="B5" i="19"/>
  <c r="B4" i="18"/>
  <c r="B4" i="17"/>
  <c r="B6" i="15"/>
  <c r="B6" i="16"/>
  <c r="B13" i="14"/>
  <c r="B3" i="13"/>
  <c r="B6" i="12"/>
  <c r="B9" i="10"/>
  <c r="B7" i="11"/>
  <c r="B3" i="9"/>
  <c r="B1" i="9"/>
  <c r="B4" i="8"/>
  <c r="B4" i="7"/>
  <c r="B3" i="6"/>
  <c r="B4" i="5"/>
  <c r="B3" i="4"/>
  <c r="B4" i="3"/>
  <c r="B4" i="2"/>
  <c r="B4" i="1"/>
</calcChain>
</file>

<file path=xl/sharedStrings.xml><?xml version="1.0" encoding="utf-8"?>
<sst xmlns="http://schemas.openxmlformats.org/spreadsheetml/2006/main" count="161" uniqueCount="12">
  <si>
    <t>B</t>
  </si>
  <si>
    <t>C</t>
  </si>
  <si>
    <t>Reduction</t>
  </si>
  <si>
    <t>D</t>
  </si>
  <si>
    <t>E</t>
  </si>
  <si>
    <t>F</t>
  </si>
  <si>
    <t>G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</si>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</sst>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7"/>
      <color rgb="FFCCCCCC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9" fontId="0" fillId="0" borderId="0" xfId="0" applyNumberFormat="1"/>
    <xf numFmtId="3" fontId="0" fillId="0" borderId="0" xfId="0" applyNumberFormat="1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4.5" x14ac:dyDescent="0.35"/>
  <sheetData>
    <row r="1" spans="1:2" x14ac:dyDescent="0.35">
      <c r="A1" t="s">
        <v>0</v>
      </c>
      <c r="B1">
        <v>16</v>
      </c>
    </row>
    <row r="2" spans="1:2" x14ac:dyDescent="0.35">
      <c r="A2" t="s">
        <v>1</v>
      </c>
      <c r="B2">
        <v>9.1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500</v>
      </c>
    </row>
    <row r="2" spans="1:2" x14ac:dyDescent="0.35">
      <c r="A2" t="s">
        <v>1</v>
      </c>
      <c r="B2">
        <v>145</v>
      </c>
    </row>
    <row r="3" spans="1:2" x14ac:dyDescent="0.35">
      <c r="A3" t="s">
        <v>3</v>
      </c>
      <c r="B3">
        <v>-7.0000000000000007E-2</v>
      </c>
    </row>
    <row r="4" spans="1:2" x14ac:dyDescent="0.3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0.04</v>
      </c>
    </row>
    <row r="2" spans="1:2" x14ac:dyDescent="0.35">
      <c r="A2" t="s">
        <v>1</v>
      </c>
      <c r="B2">
        <v>4.9000000000000004</v>
      </c>
    </row>
    <row r="3" spans="1:2" x14ac:dyDescent="0.35">
      <c r="A3" t="s">
        <v>3</v>
      </c>
      <c r="B3">
        <v>0.9</v>
      </c>
    </row>
    <row r="4" spans="1:2" x14ac:dyDescent="0.3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workbookViewId="0">
      <selection activeCell="A4" sqref="A4"/>
    </sheetView>
  </sheetViews>
  <sheetFormatPr defaultRowHeight="14.5" x14ac:dyDescent="0.35"/>
  <sheetData>
    <row r="1" spans="1:2" x14ac:dyDescent="0.35">
      <c r="A1" t="s">
        <v>0</v>
      </c>
      <c r="B1">
        <v>0.2</v>
      </c>
    </row>
    <row r="2" spans="1:2" x14ac:dyDescent="0.35">
      <c r="A2" t="s">
        <v>1</v>
      </c>
      <c r="B2">
        <v>-0.28599999999999998</v>
      </c>
    </row>
    <row r="3" spans="1:2" x14ac:dyDescent="0.3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6D57-DE29-4DAC-A3AA-80DD11128A92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4</v>
      </c>
    </row>
    <row r="2" spans="1:2" x14ac:dyDescent="0.35">
      <c r="A2" t="s">
        <v>1</v>
      </c>
      <c r="B2">
        <v>10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(B2-B1)/B2*B3</f>
        <v>-0.13200000000000001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E0D8-DEE9-4520-B548-EAFE23AFA71B}">
  <dimension ref="A1:B3"/>
  <sheetViews>
    <sheetView workbookViewId="0">
      <selection activeCell="F15" sqref="F15"/>
    </sheetView>
  </sheetViews>
  <sheetFormatPr defaultRowHeight="14.5" x14ac:dyDescent="0.35"/>
  <sheetData>
    <row r="1" spans="1:2" x14ac:dyDescent="0.35">
      <c r="A1" t="s">
        <v>0</v>
      </c>
      <c r="B1">
        <v>0.88</v>
      </c>
    </row>
    <row r="2" spans="1:2" x14ac:dyDescent="0.35">
      <c r="A2" t="s">
        <v>1</v>
      </c>
      <c r="B2">
        <v>-0.04</v>
      </c>
    </row>
    <row r="3" spans="1:2" x14ac:dyDescent="0.35">
      <c r="A3" t="s">
        <v>2</v>
      </c>
      <c r="B3">
        <f>B1*B2</f>
        <v>-3.5200000000000002E-2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145F-AAB1-4862-93C2-E8C630C31BD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0.85</v>
      </c>
    </row>
    <row r="2" spans="1:2" x14ac:dyDescent="0.35">
      <c r="A2" t="s">
        <v>1</v>
      </c>
      <c r="B2">
        <v>-0.26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-0.221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34028-78B5-4730-BB77-EDE25BEED080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</v>
      </c>
    </row>
    <row r="2" spans="1:2" x14ac:dyDescent="0.35">
      <c r="A2" t="s">
        <v>1</v>
      </c>
      <c r="B2">
        <v>-0.04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-2.7999999999999997E-2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B869-383D-4226-9FF3-A319F5FB364A}">
  <dimension ref="A1:B3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f>0.08</f>
        <v>0.08</v>
      </c>
    </row>
    <row r="2" spans="1:2" x14ac:dyDescent="0.35">
      <c r="A2" t="s">
        <v>1</v>
      </c>
      <c r="B2">
        <v>0.6</v>
      </c>
    </row>
    <row r="3" spans="1:2" x14ac:dyDescent="0.35">
      <c r="A3" t="s">
        <v>2</v>
      </c>
      <c r="B3">
        <f>B1*B2</f>
        <v>4.8000000000000001E-2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16458-C940-4002-A635-0E8C338DCCC2}">
  <dimension ref="A1:B9"/>
  <sheetViews>
    <sheetView workbookViewId="0">
      <selection activeCell="B9" sqref="B9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0.95</v>
      </c>
    </row>
    <row r="4" spans="1:2" x14ac:dyDescent="0.35">
      <c r="A4" t="s">
        <v>4</v>
      </c>
      <c r="B4">
        <v>0.8</v>
      </c>
    </row>
    <row r="5" spans="1:2" x14ac:dyDescent="0.35">
      <c r="A5" t="s">
        <v>5</v>
      </c>
      <c r="B5" s="1">
        <v>0.2</v>
      </c>
    </row>
    <row r="6" spans="1:2" x14ac:dyDescent="0.35">
      <c r="A6" t="s">
        <v>6</v>
      </c>
      <c r="B6">
        <v>-0.43</v>
      </c>
    </row>
    <row r="7" spans="1:2" x14ac:dyDescent="0.35">
      <c r="A7" t="s">
        <v>7</v>
      </c>
      <c r="B7">
        <v>0.5</v>
      </c>
    </row>
    <row r="8" spans="1:2" x14ac:dyDescent="0.35">
      <c r="A8" t="s">
        <v>8</v>
      </c>
      <c r="B8">
        <v>1</v>
      </c>
    </row>
    <row r="9" spans="1:2" x14ac:dyDescent="0.35">
      <c r="A9" t="s">
        <v>2</v>
      </c>
      <c r="B9">
        <f>(B2/B1)*B3*B4*B5*B6*B7*B8</f>
        <v>-2.6144000000000004E-2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3EDC-3FD9-40BB-AAC7-3D328C31382A}">
  <dimension ref="A1:G8"/>
  <sheetViews>
    <sheetView workbookViewId="0">
      <selection activeCell="B5" sqref="B5"/>
    </sheetView>
  </sheetViews>
  <sheetFormatPr defaultRowHeight="14.5" x14ac:dyDescent="0.35"/>
  <sheetData>
    <row r="1" spans="1:7" x14ac:dyDescent="0.35">
      <c r="A1" t="s">
        <v>0</v>
      </c>
      <c r="B1">
        <v>4.8600000000000003</v>
      </c>
    </row>
    <row r="2" spans="1:7" x14ac:dyDescent="0.35">
      <c r="A2" t="s">
        <v>1</v>
      </c>
      <c r="B2">
        <v>2.2999999999999998</v>
      </c>
    </row>
    <row r="3" spans="1:7" x14ac:dyDescent="0.35">
      <c r="A3" t="s">
        <v>3</v>
      </c>
      <c r="B3">
        <v>10.5</v>
      </c>
    </row>
    <row r="4" spans="1:7" x14ac:dyDescent="0.35">
      <c r="A4" t="s">
        <v>4</v>
      </c>
      <c r="B4">
        <v>0.02</v>
      </c>
    </row>
    <row r="5" spans="1:7" x14ac:dyDescent="0.35">
      <c r="A5" t="s">
        <v>5</v>
      </c>
      <c r="B5">
        <v>0.85</v>
      </c>
      <c r="G5" s="3"/>
    </row>
    <row r="6" spans="1:7" x14ac:dyDescent="0.35">
      <c r="A6" t="s">
        <v>2</v>
      </c>
      <c r="B6">
        <f>(B2*(B4-(B1*B4)))/(B3*B5)</f>
        <v>-1.9894677871148462E-2</v>
      </c>
      <c r="G6" s="3"/>
    </row>
    <row r="7" spans="1:7" x14ac:dyDescent="0.35">
      <c r="G7" s="3"/>
    </row>
    <row r="8" spans="1:7" x14ac:dyDescent="0.35">
      <c r="G8" s="3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844C-4C52-40D3-A5CC-C3F133397CB1}">
  <dimension ref="A1:B7"/>
  <sheetViews>
    <sheetView workbookViewId="0">
      <selection activeCell="A7" sqref="A1:A7"/>
    </sheetView>
  </sheetViews>
  <sheetFormatPr defaultRowHeight="14.5" x14ac:dyDescent="0.35"/>
  <sheetData>
    <row r="1" spans="1:2" x14ac:dyDescent="0.35">
      <c r="A1" t="s">
        <v>0</v>
      </c>
      <c r="B1">
        <v>2.7E-2</v>
      </c>
    </row>
    <row r="2" spans="1:2" x14ac:dyDescent="0.35">
      <c r="A2" t="s">
        <v>1</v>
      </c>
      <c r="B2">
        <v>20</v>
      </c>
    </row>
    <row r="3" spans="1:2" x14ac:dyDescent="0.35">
      <c r="A3" t="s">
        <v>3</v>
      </c>
      <c r="B3">
        <v>42</v>
      </c>
    </row>
    <row r="4" spans="1:2" x14ac:dyDescent="0.35">
      <c r="A4" t="s">
        <v>4</v>
      </c>
      <c r="B4">
        <v>6.25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763.4</v>
      </c>
    </row>
    <row r="7" spans="1:2" x14ac:dyDescent="0.35">
      <c r="A7" t="s">
        <v>2</v>
      </c>
      <c r="B7">
        <f>((1-B1)*B2*B5+B1*(B3/B4)*B6)/((1-B1)*B2*B5+B1*B3*B5) -1</f>
        <v>-3.3192034620550204E-2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EB77-86F6-45D0-A287-CA923C8E64E0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</v>
      </c>
    </row>
    <row r="3" spans="1:2" x14ac:dyDescent="0.35">
      <c r="A3" t="s">
        <v>3</v>
      </c>
      <c r="B3">
        <v>0.8</v>
      </c>
    </row>
    <row r="4" spans="1:2" x14ac:dyDescent="0.35">
      <c r="A4" t="s">
        <v>4</v>
      </c>
      <c r="B4">
        <v>-0.4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((B1-B2)/B2)*B3*B4*B5</f>
        <v>-8.0000000000000016E-2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85472-F537-4DE8-92F9-12CB7CBA9F10}">
  <dimension ref="A1:B3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0.75</v>
      </c>
    </row>
    <row r="2" spans="1:2" x14ac:dyDescent="0.35">
      <c r="A2" t="s">
        <v>1</v>
      </c>
      <c r="B2">
        <v>0.12</v>
      </c>
    </row>
    <row r="3" spans="1:2" x14ac:dyDescent="0.35">
      <c r="A3" t="s">
        <v>2</v>
      </c>
      <c r="B3">
        <f>B1*B2</f>
        <v>0.09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B71FA-36E9-4AA9-A810-0D608806979B}">
  <dimension ref="A1:B13"/>
  <sheetViews>
    <sheetView workbookViewId="0">
      <selection sqref="A1:B13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2</v>
      </c>
    </row>
    <row r="4" spans="1:2" x14ac:dyDescent="0.35">
      <c r="A4" t="s">
        <v>4</v>
      </c>
      <c r="B4">
        <v>0.46</v>
      </c>
    </row>
    <row r="5" spans="1:2" x14ac:dyDescent="0.35">
      <c r="A5" t="s">
        <v>5</v>
      </c>
      <c r="B5">
        <v>0.8</v>
      </c>
    </row>
    <row r="6" spans="1:2" x14ac:dyDescent="0.35">
      <c r="A6" t="s">
        <v>6</v>
      </c>
      <c r="B6">
        <v>205.1</v>
      </c>
    </row>
    <row r="7" spans="1:2" x14ac:dyDescent="0.35">
      <c r="A7" t="s">
        <v>7</v>
      </c>
      <c r="B7">
        <v>0.32700000000000001</v>
      </c>
    </row>
    <row r="8" spans="1:2" x14ac:dyDescent="0.35">
      <c r="A8" t="s">
        <v>8</v>
      </c>
      <c r="B8">
        <v>54</v>
      </c>
    </row>
    <row r="9" spans="1:2" x14ac:dyDescent="0.35">
      <c r="A9" t="s">
        <v>9</v>
      </c>
      <c r="B9">
        <v>307.5</v>
      </c>
    </row>
    <row r="10" spans="1:2" x14ac:dyDescent="0.35">
      <c r="A10" t="s">
        <v>10</v>
      </c>
      <c r="B10">
        <v>454</v>
      </c>
    </row>
    <row r="11" spans="1:2" x14ac:dyDescent="0.35">
      <c r="A11" t="s">
        <v>11</v>
      </c>
      <c r="B11">
        <v>1E-3</v>
      </c>
    </row>
    <row r="13" spans="1:2" x14ac:dyDescent="0.35">
      <c r="A13" t="s">
        <v>2</v>
      </c>
      <c r="B13">
        <f>(B1*B3*(B5-B4)*(B6-(B7*B8*B10*B11)))/(-B2*B9)</f>
        <v>-5.447830172357724E-2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A069-D1DB-475A-8F9B-792EF53B331C}">
  <dimension ref="A1:B6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5</v>
      </c>
    </row>
    <row r="3" spans="1:2" x14ac:dyDescent="0.35">
      <c r="A3" t="s">
        <v>3</v>
      </c>
      <c r="B3">
        <v>0.7</v>
      </c>
    </row>
    <row r="4" spans="1:2" x14ac:dyDescent="0.35">
      <c r="A4" t="s">
        <v>4</v>
      </c>
      <c r="B4">
        <v>0.37</v>
      </c>
    </row>
    <row r="5" spans="1:2" x14ac:dyDescent="0.35">
      <c r="A5" t="s">
        <v>5</v>
      </c>
      <c r="B5">
        <v>0.37</v>
      </c>
    </row>
    <row r="6" spans="1:2" x14ac:dyDescent="0.35">
      <c r="A6" t="s">
        <v>2</v>
      </c>
      <c r="B6">
        <f>((B1-B2)/B1)*B3*B4*B5</f>
        <v>7.1872499999999992E-2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32E11-9AE8-430C-BB7C-775C8F55C0E4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1000</v>
      </c>
    </row>
    <row r="2" spans="1:2" x14ac:dyDescent="0.35">
      <c r="A2" t="s">
        <v>1</v>
      </c>
      <c r="B2">
        <v>9282</v>
      </c>
    </row>
    <row r="3" spans="1:2" x14ac:dyDescent="0.35">
      <c r="A3" t="s">
        <v>3</v>
      </c>
      <c r="B3">
        <v>-0.4</v>
      </c>
    </row>
    <row r="4" spans="1:2" x14ac:dyDescent="0.35">
      <c r="A4" t="s">
        <v>4</v>
      </c>
      <c r="B4">
        <v>1.01</v>
      </c>
    </row>
    <row r="6" spans="1:2" x14ac:dyDescent="0.35">
      <c r="A6" t="s">
        <v>2</v>
      </c>
      <c r="B6">
        <f>(B1/B2)*B3*B4</f>
        <v>-4.3525102348631765E-2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DE8D3-9E8A-4279-844C-4A45D97D6B1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60</v>
      </c>
    </row>
    <row r="2" spans="1:2" x14ac:dyDescent="0.35">
      <c r="A2" t="s">
        <v>1</v>
      </c>
      <c r="B2">
        <v>36</v>
      </c>
    </row>
    <row r="3" spans="1:2" x14ac:dyDescent="0.35">
      <c r="A3" t="s">
        <v>3</v>
      </c>
      <c r="B3">
        <v>-0.14000000000000001</v>
      </c>
    </row>
    <row r="4" spans="1:2" x14ac:dyDescent="0.35">
      <c r="A4" t="s">
        <v>2</v>
      </c>
      <c r="B4">
        <f>((B1-B2)/B2) *B3</f>
        <v>-9.3333333333333338E-2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2C3D-3D13-498E-A309-97566F9E182C}">
  <dimension ref="A1:B4"/>
  <sheetViews>
    <sheetView workbookViewId="0">
      <selection activeCell="M14" sqref="M14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150</v>
      </c>
    </row>
    <row r="3" spans="1:2" x14ac:dyDescent="0.35">
      <c r="A3" t="s">
        <v>3</v>
      </c>
      <c r="B3">
        <v>-0.05</v>
      </c>
    </row>
    <row r="4" spans="1:2" x14ac:dyDescent="0.35">
      <c r="A4" t="s">
        <v>2</v>
      </c>
      <c r="B4">
        <f>(((B2/B1)-1)*B3)</f>
        <v>-2.5000000000000001E-2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60669-536E-478F-9C8D-4895DCFE63A0}">
  <dimension ref="A1:B8"/>
  <sheetViews>
    <sheetView tabSelected="1" workbookViewId="0">
      <selection activeCell="B5" sqref="B5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100</v>
      </c>
    </row>
    <row r="3" spans="1:2" x14ac:dyDescent="0.35">
      <c r="A3" t="s">
        <v>3</v>
      </c>
      <c r="B3">
        <v>0.03</v>
      </c>
    </row>
    <row r="4" spans="1:2" x14ac:dyDescent="0.35">
      <c r="A4" t="s">
        <v>4</v>
      </c>
      <c r="B4">
        <v>0.85</v>
      </c>
    </row>
    <row r="5" spans="1:2" x14ac:dyDescent="0.35">
      <c r="A5" t="s">
        <v>5</v>
      </c>
      <c r="B5">
        <v>2.2999999999999998</v>
      </c>
    </row>
    <row r="6" spans="1:2" x14ac:dyDescent="0.35">
      <c r="A6" t="s">
        <v>6</v>
      </c>
      <c r="B6">
        <v>10.5</v>
      </c>
    </row>
    <row r="7" spans="1:2" x14ac:dyDescent="0.35">
      <c r="A7" t="s">
        <v>7</v>
      </c>
      <c r="B7">
        <v>0.25</v>
      </c>
    </row>
    <row r="8" spans="1:2" x14ac:dyDescent="0.35">
      <c r="A8" t="s">
        <v>2</v>
      </c>
      <c r="B8">
        <f>-1*(((B2-B1)/B1)*B3*B5*B7)/(B4*B6)</f>
        <v>-7.7310924369747899E-3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57BC-5CD0-428B-BD1C-3A13CCA94843}">
  <dimension ref="A1:B5"/>
  <sheetViews>
    <sheetView workbookViewId="0">
      <selection activeCell="I4" sqref="I4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8000000</v>
      </c>
    </row>
    <row r="3" spans="1:2" x14ac:dyDescent="0.35">
      <c r="A3" t="s">
        <v>3</v>
      </c>
      <c r="B3">
        <v>68.2</v>
      </c>
    </row>
    <row r="4" spans="1:2" x14ac:dyDescent="0.35">
      <c r="A4" t="s">
        <v>4</v>
      </c>
      <c r="B4">
        <v>24.4</v>
      </c>
    </row>
    <row r="5" spans="1:2" x14ac:dyDescent="0.35">
      <c r="A5" t="s">
        <v>2</v>
      </c>
      <c r="B5">
        <f>(B1*(B4-B3))/B2</f>
        <v>-1.0950000000000002E-4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892F-DED0-46F4-AA2C-CCF2CC1ADF7C}">
  <dimension ref="A1:B10"/>
  <sheetViews>
    <sheetView workbookViewId="0">
      <selection activeCell="B10" sqref="B10"/>
    </sheetView>
  </sheetViews>
  <sheetFormatPr defaultRowHeight="14.5" x14ac:dyDescent="0.35"/>
  <cols>
    <col min="2" max="2" width="10" bestFit="1" customWidth="1"/>
  </cols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54.8</v>
      </c>
    </row>
    <row r="4" spans="1:2" x14ac:dyDescent="0.35">
      <c r="A4" t="s">
        <v>4</v>
      </c>
      <c r="B4">
        <v>13.7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0.32700000000000001</v>
      </c>
    </row>
    <row r="7" spans="1:2" x14ac:dyDescent="0.35">
      <c r="A7" t="s">
        <v>7</v>
      </c>
      <c r="B7">
        <v>0</v>
      </c>
    </row>
    <row r="8" spans="1:2" x14ac:dyDescent="0.35">
      <c r="A8" t="s">
        <v>8</v>
      </c>
      <c r="B8">
        <v>454</v>
      </c>
    </row>
    <row r="9" spans="1:2" x14ac:dyDescent="0.35">
      <c r="A9" t="s">
        <v>9</v>
      </c>
      <c r="B9">
        <v>1E-3</v>
      </c>
    </row>
    <row r="10" spans="1:2" x14ac:dyDescent="0.35">
      <c r="A10" t="s">
        <v>2</v>
      </c>
      <c r="B10">
        <f>-1*(B1*((B4*B6*B7*B8*B9)-(B3*B5)))/(B2*B5)</f>
        <v>5.4799999999999998E-4</v>
      </c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9EE00-52A7-487E-921D-B9FCCC55DCBC}">
  <dimension ref="A1:B8"/>
  <sheetViews>
    <sheetView workbookViewId="0">
      <selection activeCell="B8" sqref="B8"/>
    </sheetView>
  </sheetViews>
  <sheetFormatPr defaultRowHeight="14.5" x14ac:dyDescent="0.35"/>
  <sheetData>
    <row r="1" spans="1:2" x14ac:dyDescent="0.35">
      <c r="A1" t="s">
        <v>0</v>
      </c>
      <c r="B1">
        <v>0.5</v>
      </c>
    </row>
    <row r="2" spans="1:2" x14ac:dyDescent="0.35">
      <c r="A2" t="s">
        <v>1</v>
      </c>
      <c r="B2">
        <v>0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0.38500000000000001</v>
      </c>
    </row>
    <row r="5" spans="1:2" x14ac:dyDescent="0.35">
      <c r="A5" t="s">
        <v>5</v>
      </c>
      <c r="B5">
        <v>2.14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((B2-B1)*B3*B4*B5)/(B6*B7)</f>
        <v>-3.2963534522176496E-4</v>
      </c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036EF-8CF1-4C13-9B46-8108C0132C37}">
  <dimension ref="A1:B6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 s="2">
        <v>40000</v>
      </c>
    </row>
    <row r="2" spans="1:2" x14ac:dyDescent="0.35">
      <c r="A2" t="s">
        <v>1</v>
      </c>
      <c r="B2" s="2">
        <v>10000</v>
      </c>
    </row>
    <row r="3" spans="1:2" x14ac:dyDescent="0.35">
      <c r="A3" t="s">
        <v>3</v>
      </c>
      <c r="B3">
        <v>0.19</v>
      </c>
    </row>
    <row r="4" spans="1:2" x14ac:dyDescent="0.35">
      <c r="A4" t="s">
        <v>4</v>
      </c>
      <c r="B4">
        <v>0.12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(B2/B1) *B3*-B4*B5</f>
        <v>-5.7000000000000002E-3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B05B6-310E-40FF-A289-A462CFD2CD1A}">
  <dimension ref="A1:B8"/>
  <sheetViews>
    <sheetView zoomScale="86" workbookViewId="0">
      <selection activeCell="B6" sqref="B6"/>
    </sheetView>
  </sheetViews>
  <sheetFormatPr defaultRowHeight="14.5" x14ac:dyDescent="0.35"/>
  <sheetData>
    <row r="1" spans="1:2" x14ac:dyDescent="0.35">
      <c r="A1" t="s">
        <v>0</v>
      </c>
      <c r="B1">
        <v>1000000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4</v>
      </c>
    </row>
    <row r="4" spans="1:2" x14ac:dyDescent="0.35">
      <c r="A4" t="s">
        <v>4</v>
      </c>
      <c r="B4">
        <v>2</v>
      </c>
    </row>
    <row r="5" spans="1:2" x14ac:dyDescent="0.35">
      <c r="A5" t="s">
        <v>5</v>
      </c>
      <c r="B5">
        <v>0.25</v>
      </c>
    </row>
    <row r="6" spans="1:2" x14ac:dyDescent="0.35">
      <c r="A6" t="s">
        <v>6</v>
      </c>
      <c r="B6">
        <v>-0.4</v>
      </c>
    </row>
    <row r="7" spans="1:2" x14ac:dyDescent="0.35">
      <c r="A7" t="s">
        <v>7</v>
      </c>
      <c r="B7">
        <v>1</v>
      </c>
    </row>
    <row r="8" spans="1:2" x14ac:dyDescent="0.35">
      <c r="A8" t="s">
        <v>2</v>
      </c>
      <c r="B8">
        <f>B1/B2 *(B3-B4)/B4*B5*B6*B7</f>
        <v>-1.0000000000000002E-2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E5C2E-1F2E-408A-BC54-0F14E725BF63}">
  <dimension ref="A1:B7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v>300</v>
      </c>
    </row>
    <row r="2" spans="1:2" x14ac:dyDescent="0.35">
      <c r="A2" t="s">
        <v>1</v>
      </c>
      <c r="B2">
        <v>450</v>
      </c>
    </row>
    <row r="3" spans="1:2" x14ac:dyDescent="0.35">
      <c r="A3" t="s">
        <v>3</v>
      </c>
      <c r="B3">
        <v>0.2</v>
      </c>
    </row>
    <row r="4" spans="1:2" x14ac:dyDescent="0.35">
      <c r="A4" t="s">
        <v>4</v>
      </c>
      <c r="B4">
        <v>0.7</v>
      </c>
    </row>
    <row r="5" spans="1:2" x14ac:dyDescent="0.35">
      <c r="A5" t="s">
        <v>5</v>
      </c>
      <c r="B5">
        <v>0.57799999999999996</v>
      </c>
    </row>
    <row r="6" spans="1:2" x14ac:dyDescent="0.35">
      <c r="A6" t="s">
        <v>6</v>
      </c>
      <c r="B6">
        <v>1</v>
      </c>
    </row>
    <row r="7" spans="1:2" x14ac:dyDescent="0.35">
      <c r="A7" t="s">
        <v>2</v>
      </c>
      <c r="B7">
        <f>-1*((B2-B1)/B1)*B3*B4*B5*B6</f>
        <v>-4.0459999999999996E-2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EF6D2-2159-4E97-8BF0-19BB3D566A71}">
  <dimension ref="A1:B7"/>
  <sheetViews>
    <sheetView workbookViewId="0">
      <selection activeCell="B6" sqref="B6"/>
    </sheetView>
  </sheetViews>
  <sheetFormatPr defaultRowHeight="14.5" x14ac:dyDescent="0.35"/>
  <sheetData>
    <row r="1" spans="1:2" x14ac:dyDescent="0.35">
      <c r="A1" t="s">
        <v>0</v>
      </c>
      <c r="B1">
        <v>2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0.5</v>
      </c>
    </row>
    <row r="4" spans="1:2" x14ac:dyDescent="0.35">
      <c r="A4" t="s">
        <v>4</v>
      </c>
      <c r="B4">
        <v>0.1</v>
      </c>
    </row>
    <row r="5" spans="1:2" x14ac:dyDescent="0.35">
      <c r="A5" t="s">
        <v>5</v>
      </c>
      <c r="B5">
        <v>0.85</v>
      </c>
    </row>
    <row r="6" spans="1:2" x14ac:dyDescent="0.35">
      <c r="A6" t="s">
        <v>6</v>
      </c>
      <c r="B6">
        <v>0.57799999999999996</v>
      </c>
    </row>
    <row r="7" spans="1:2" x14ac:dyDescent="0.35">
      <c r="A7" t="s">
        <v>2</v>
      </c>
      <c r="B7">
        <f>-B2*((B1*B3*B4*B6)/B5)</f>
        <v>-5.4400000000000004E-2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4C011-9C8B-4490-8B6D-F742F24FB084}">
  <dimension ref="A1:B7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0.3</v>
      </c>
    </row>
    <row r="2" spans="1:2" x14ac:dyDescent="0.35">
      <c r="A2" t="s">
        <v>1</v>
      </c>
      <c r="B2">
        <v>0.1</v>
      </c>
    </row>
    <row r="3" spans="1:2" x14ac:dyDescent="0.35">
      <c r="A3" t="s">
        <v>3</v>
      </c>
      <c r="B3">
        <v>0.4</v>
      </c>
    </row>
    <row r="4" spans="1:2" x14ac:dyDescent="0.35">
      <c r="A4" t="s">
        <v>4</v>
      </c>
      <c r="B4">
        <v>0.15</v>
      </c>
    </row>
    <row r="5" spans="1:2" x14ac:dyDescent="0.35">
      <c r="A5" t="s">
        <v>5</v>
      </c>
      <c r="B5">
        <v>0.8</v>
      </c>
    </row>
    <row r="6" spans="1:2" x14ac:dyDescent="0.35">
      <c r="A6" t="s">
        <v>6</v>
      </c>
      <c r="B6">
        <v>0.57799999999999996</v>
      </c>
    </row>
    <row r="7" spans="1:2" x14ac:dyDescent="0.35">
      <c r="A7" t="s">
        <v>2</v>
      </c>
      <c r="B7">
        <f>-1*(B1*B2*B3*B4*B6)/B5</f>
        <v>-1.3004999999999998E-3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T1</vt:lpstr>
      <vt:lpstr>T2</vt:lpstr>
      <vt:lpstr>T3</vt:lpstr>
      <vt:lpstr>T4</vt:lpstr>
      <vt:lpstr>T55</vt:lpstr>
      <vt:lpstr>T5</vt:lpstr>
      <vt:lpstr>T6</vt:lpstr>
      <vt:lpstr>T7</vt:lpstr>
      <vt:lpstr>T8</vt:lpstr>
      <vt:lpstr>T9</vt:lpstr>
      <vt:lpstr>T10</vt:lpstr>
      <vt:lpstr>T11</vt:lpstr>
      <vt:lpstr>T12</vt:lpstr>
      <vt:lpstr>T13</vt:lpstr>
      <vt:lpstr>T14</vt:lpstr>
      <vt:lpstr>T15</vt:lpstr>
      <vt:lpstr>T16</vt:lpstr>
      <vt:lpstr>T17</vt:lpstr>
      <vt:lpstr>T18</vt:lpstr>
      <vt:lpstr>T20</vt:lpstr>
      <vt:lpstr>T21a</vt:lpstr>
      <vt:lpstr>T21b</vt:lpstr>
      <vt:lpstr>T22cB</vt:lpstr>
      <vt:lpstr>T23</vt:lpstr>
      <vt:lpstr>T24B</vt:lpstr>
      <vt:lpstr>T25B</vt:lpstr>
      <vt:lpstr>T26</vt:lpstr>
      <vt:lpstr>T27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2026-05-14T19:45:22Z</dcterms:modified>
</cp:coreProperties>
</file>